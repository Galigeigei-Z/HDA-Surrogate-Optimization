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698" yWindow="3024" windowWidth="24218" windowHeight="133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#0.0###"/>
    <numFmt numFmtId="166" formatCode="0.000"/>
  </numFmts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rgb="FF0070C0"/>
      <sz val="10"/>
    </font>
    <font>
      <name val="Calibri"/>
      <family val="2"/>
      <color rgb="FF0070C0"/>
      <sz val="11"/>
      <scheme val="minor"/>
    </font>
    <font>
      <name val="Arial"/>
      <family val="2"/>
      <color rgb="FFFF0000"/>
      <sz val="10"/>
    </font>
    <font>
      <name val="Arial"/>
      <family val="2"/>
      <color theme="3" tint="0.3999755851924192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164" fontId="0" fillId="0" borderId="0" applyProtection="1" pivotButton="0" quotePrefix="0" xfId="0">
      <protection locked="0" hidden="0"/>
    </xf>
    <xf numFmtId="164" fontId="3" fillId="0" borderId="0" applyAlignment="1" applyProtection="1" pivotButton="0" quotePrefix="0" xfId="0">
      <alignment vertical="center"/>
      <protection locked="0" hidden="0"/>
    </xf>
    <xf numFmtId="164" fontId="2" fillId="0" borderId="0" applyAlignment="1" applyProtection="1" pivotButton="0" quotePrefix="0" xfId="0">
      <alignment vertical="center"/>
      <protection locked="0" hidden="0"/>
    </xf>
    <xf numFmtId="165" fontId="0" fillId="2" borderId="1" applyAlignment="1" applyProtection="1" pivotButton="0" quotePrefix="0" xfId="0">
      <alignment horizontal="center"/>
      <protection locked="1" hidden="1"/>
    </xf>
    <xf numFmtId="166" fontId="0" fillId="0" borderId="1" applyAlignment="1" applyProtection="1" pivotButton="0" quotePrefix="0" xfId="0">
      <alignment horizontal="center"/>
      <protection locked="0" hidden="0"/>
    </xf>
    <xf numFmtId="2" fontId="0" fillId="0" borderId="0" applyProtection="1" pivotButton="0" quotePrefix="0" xfId="0">
      <protection locked="0" hidden="0"/>
    </xf>
    <xf numFmtId="2" fontId="2" fillId="0" borderId="0" applyAlignment="1" applyProtection="1" pivotButton="0" quotePrefix="0" xfId="0">
      <alignment vertical="center"/>
      <protection locked="0" hidden="0"/>
    </xf>
    <xf numFmtId="166" fontId="2" fillId="0" borderId="1" applyAlignment="1" applyProtection="1" pivotButton="0" quotePrefix="0" xfId="0">
      <alignment horizontal="center" vertical="center"/>
      <protection locked="0" hidden="0"/>
    </xf>
    <xf numFmtId="0" fontId="4" fillId="0" borderId="0" applyProtection="1" pivotButton="0" quotePrefix="0" xfId="0">
      <protection locked="0" hidden="0"/>
    </xf>
    <xf numFmtId="164" fontId="4" fillId="0" borderId="0" applyProtection="1" pivotButton="0" quotePrefix="0" xfId="0">
      <protection locked="0" hidden="0"/>
    </xf>
    <xf numFmtId="0" fontId="4" fillId="0" borderId="1" applyAlignment="1" applyProtection="1" pivotButton="0" quotePrefix="0" xfId="0">
      <alignment horizontal="center"/>
      <protection locked="0" hidden="0"/>
    </xf>
    <xf numFmtId="0" fontId="5" fillId="0" borderId="1" applyAlignment="1" applyProtection="1" pivotButton="0" quotePrefix="0" xfId="0">
      <alignment horizontal="center"/>
      <protection locked="0" hidden="0"/>
    </xf>
    <xf numFmtId="0" fontId="4" fillId="0" borderId="2" applyAlignment="1" applyProtection="1" pivotButton="0" quotePrefix="0" xfId="0">
      <alignment horizontal="center"/>
      <protection locked="0" hidden="0"/>
    </xf>
    <xf numFmtId="0" fontId="5" fillId="0" borderId="2" applyAlignment="1" applyProtection="1" pivotButton="0" quotePrefix="0" xfId="0">
      <alignment horizontal="center"/>
      <protection locked="0" hidden="0"/>
    </xf>
    <xf numFmtId="0" fontId="4" fillId="3" borderId="1" applyAlignment="1" applyProtection="1" pivotButton="0" quotePrefix="0" xfId="0">
      <alignment horizontal="center"/>
      <protection locked="0" hidden="0"/>
    </xf>
    <xf numFmtId="166" fontId="6" fillId="0" borderId="1" applyAlignment="1" applyProtection="1" pivotButton="0" quotePrefix="0" xfId="1">
      <alignment horizontal="center"/>
      <protection locked="0" hidden="0"/>
    </xf>
    <xf numFmtId="165" fontId="6" fillId="2" borderId="1" applyAlignment="1" applyProtection="1" pivotButton="0" quotePrefix="0" xfId="1">
      <alignment horizontal="center"/>
      <protection locked="1" hidden="1"/>
    </xf>
  </cellXfs>
  <cellStyles count="2">
    <cellStyle name="Normal" xfId="0" builtinId="0"/>
    <cellStyle name="Normal 2" xfId="1"/>
  </cellStyles>
  <dxfs count="9">
    <dxf>
      <fill>
        <patternFill>
          <bgColor indexed="43"/>
        </patternFill>
      </fill>
    </dxf>
    <dxf>
      <font>
        <condense val="0"/>
        <color auto="1"/>
        <extend val="0"/>
      </font>
    </dxf>
    <dxf>
      <fill>
        <patternFill>
          <bgColor indexed="43"/>
        </patternFill>
      </fill>
    </dxf>
    <dxf>
      <font>
        <condense val="0"/>
        <color auto="1"/>
        <extend val="0"/>
      </font>
    </dxf>
    <dxf>
      <fill>
        <patternFill>
          <bgColor indexed="43"/>
        </patternFill>
      </fill>
    </dxf>
    <dxf>
      <font>
        <condense val="0"/>
        <color auto="1"/>
        <extend val="0"/>
      </font>
    </dxf>
    <dxf>
      <fill>
        <patternFill>
          <bgColor indexed="43"/>
        </patternFill>
      </fill>
    </dxf>
    <dxf>
      <font>
        <condense val="0"/>
        <color auto="1"/>
        <extend val="0"/>
      </font>
    </dxf>
    <dxf>
      <fill>
        <patternFill>
          <bgColor indexed="43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tabSelected="1" zoomScaleNormal="100" workbookViewId="0">
      <selection activeCell="B10" sqref="B10"/>
    </sheetView>
  </sheetViews>
  <sheetFormatPr baseColWidth="8" defaultRowHeight="15.05"/>
  <cols>
    <col width="32.88671875" customWidth="1" min="1" max="1"/>
    <col width="29" customWidth="1" min="2" max="2"/>
    <col width="23.109375" customWidth="1" min="3" max="3"/>
    <col width="29" customWidth="1" min="4" max="4"/>
    <col width="29.33203125" customWidth="1" min="5" max="5"/>
    <col width="9.44140625" bestFit="1" customWidth="1" min="6" max="6"/>
  </cols>
  <sheetData>
    <row r="1">
      <c r="A1" t="inlineStr">
        <is>
          <t>Stream Information</t>
        </is>
      </c>
      <c r="B1" t="inlineStr">
        <is>
          <t>Supply Temperture (°C)</t>
        </is>
      </c>
      <c r="C1" t="inlineStr">
        <is>
          <t>Target Temperature (°C)</t>
        </is>
      </c>
      <c r="D1" t="inlineStr">
        <is>
          <t>Heat Load (kW)</t>
        </is>
      </c>
      <c r="E1" t="inlineStr">
        <is>
          <t>U (KW/m2.K)</t>
        </is>
      </c>
      <c r="F1" t="inlineStr">
        <is>
          <t>CP(kW/K)</t>
        </is>
      </c>
    </row>
    <row r="2">
      <c r="A2" t="inlineStr">
        <is>
          <t>Condenser@COL1</t>
        </is>
      </c>
      <c r="B2" t="n">
        <v>35.9</v>
      </c>
      <c r="C2" t="n">
        <v>-21.1</v>
      </c>
      <c r="D2" t="n">
        <v>8.975</v>
      </c>
      <c r="E2" t="n">
        <v>0.2138888888888889</v>
      </c>
      <c r="F2" t="n">
        <v>0.1574561403508772</v>
      </c>
    </row>
    <row r="3">
      <c r="A3" t="inlineStr">
        <is>
          <t>Condenser@COL2</t>
        </is>
      </c>
      <c r="B3" t="n">
        <v>86.09999999999999</v>
      </c>
      <c r="C3" t="n">
        <v>85.59999999999999</v>
      </c>
      <c r="D3" t="n">
        <v>2702.5</v>
      </c>
      <c r="E3" t="n">
        <v>0.1898611111111111</v>
      </c>
      <c r="F3" t="n">
        <v>5405</v>
      </c>
    </row>
    <row r="4">
      <c r="A4" t="inlineStr">
        <is>
          <t>Condenser@COL3</t>
        </is>
      </c>
      <c r="B4" t="n">
        <v>157.8</v>
      </c>
      <c r="C4" t="n">
        <v>137.5</v>
      </c>
      <c r="D4" t="n">
        <v>94.41666666666667</v>
      </c>
      <c r="E4" t="n">
        <v>0.6996388888888888</v>
      </c>
      <c r="F4" t="n">
        <v>4.651067323481114</v>
      </c>
    </row>
    <row r="5">
      <c r="A5" t="inlineStr">
        <is>
          <t>Cooler1</t>
        </is>
      </c>
      <c r="B5" t="n">
        <v>666.6</v>
      </c>
      <c r="C5" t="n">
        <v>328.1</v>
      </c>
      <c r="D5" t="n">
        <v>13630.55555555555</v>
      </c>
      <c r="E5" t="n">
        <v>0.3135555555555555</v>
      </c>
      <c r="F5" t="n">
        <v>40.26752010503856</v>
      </c>
    </row>
    <row r="6">
      <c r="A6" t="inlineStr">
        <is>
          <t>Cooler2</t>
        </is>
      </c>
      <c r="B6" t="n">
        <v>328.1</v>
      </c>
      <c r="C6" t="n">
        <v>37.8</v>
      </c>
      <c r="D6" t="n">
        <v>10469.44444444445</v>
      </c>
      <c r="E6" t="n">
        <v>0.6088611111111112</v>
      </c>
      <c r="F6" t="n">
        <v>36.06422474834463</v>
      </c>
    </row>
    <row r="7">
      <c r="A7" t="inlineStr">
        <is>
          <t>Cooler3</t>
        </is>
      </c>
      <c r="B7" t="n">
        <v>83.59999999999999</v>
      </c>
      <c r="C7" t="n">
        <v>30</v>
      </c>
      <c r="D7" t="n">
        <v>299.1666666666667</v>
      </c>
      <c r="E7" t="n">
        <v>0.9248888888888889</v>
      </c>
      <c r="F7" t="n">
        <v>5.581467661691543</v>
      </c>
    </row>
    <row r="8">
      <c r="A8" t="inlineStr">
        <is>
          <t>Cooler4</t>
        </is>
      </c>
      <c r="B8" t="n">
        <v>260</v>
      </c>
      <c r="C8" t="n">
        <v>30</v>
      </c>
      <c r="D8" t="n">
        <v>232.6111111111111</v>
      </c>
      <c r="E8" t="n">
        <v>1.135</v>
      </c>
      <c r="F8" t="n">
        <v>1.011352657004831</v>
      </c>
    </row>
    <row r="9">
      <c r="A9" t="inlineStr">
        <is>
          <t>Heater1</t>
        </is>
      </c>
      <c r="B9" t="n">
        <v>50.8</v>
      </c>
      <c r="C9" t="n">
        <v>239.7</v>
      </c>
      <c r="D9" t="n">
        <v>6875</v>
      </c>
      <c r="E9" t="n">
        <v>0.1550277777777778</v>
      </c>
      <c r="F9" t="n">
        <v>36.39491794600318</v>
      </c>
    </row>
    <row r="10">
      <c r="A10" t="inlineStr">
        <is>
          <t>Heater2</t>
        </is>
      </c>
      <c r="B10" t="n">
        <v>239.7</v>
      </c>
      <c r="C10" t="n">
        <v>648</v>
      </c>
      <c r="D10" t="n">
        <v>15277.77777777778</v>
      </c>
      <c r="E10" t="n">
        <v>0.07102777777777777</v>
      </c>
      <c r="F10" t="n">
        <v>37.41802051868179</v>
      </c>
    </row>
    <row r="11">
      <c r="A11" t="inlineStr">
        <is>
          <t>Reboiler@COL1</t>
        </is>
      </c>
      <c r="B11" t="n">
        <v>180.8</v>
      </c>
      <c r="C11" t="n">
        <v>182.7</v>
      </c>
      <c r="D11" t="n">
        <v>1071.666666666667</v>
      </c>
      <c r="E11" t="n">
        <v>2.418666666666667</v>
      </c>
      <c r="F11" t="n">
        <v>564.035087719305</v>
      </c>
    </row>
    <row r="12">
      <c r="A12" t="inlineStr">
        <is>
          <t>Reboiler@COL2</t>
        </is>
      </c>
      <c r="B12" t="n">
        <v>148.2</v>
      </c>
      <c r="C12" t="n">
        <v>171.1</v>
      </c>
      <c r="D12" t="n">
        <v>2060.833333333333</v>
      </c>
      <c r="E12" t="n">
        <v>0.19575</v>
      </c>
      <c r="F12" t="n">
        <v>89.99272197962152</v>
      </c>
    </row>
    <row r="13">
      <c r="A13" t="inlineStr">
        <is>
          <t>Reboiler@COL3</t>
        </is>
      </c>
      <c r="B13" t="n">
        <v>295.5</v>
      </c>
      <c r="C13" t="n">
        <v>295.9</v>
      </c>
      <c r="D13" t="n">
        <v>197.1944444444445</v>
      </c>
      <c r="E13" t="n">
        <v>0.1094444444444444</v>
      </c>
      <c r="F13" t="n">
        <v>492.9861111111392</v>
      </c>
    </row>
    <row r="14">
      <c r="A14" t="inlineStr">
        <is>
          <t>Hot Oil</t>
        </is>
      </c>
      <c r="B14" t="n">
        <v>280</v>
      </c>
      <c r="C14" t="n">
        <v>250</v>
      </c>
      <c r="D14" t="n">
        <v>8935.833333333334</v>
      </c>
      <c r="E14" t="n">
        <v>0.1628404537604712</v>
      </c>
      <c r="F14" t="n">
        <v>297.8611111111111</v>
      </c>
    </row>
    <row r="15">
      <c r="A15" t="inlineStr">
        <is>
          <t>HP Steam</t>
        </is>
      </c>
      <c r="B15" t="n">
        <v>250</v>
      </c>
      <c r="C15" t="n">
        <v>249</v>
      </c>
      <c r="D15" t="n">
        <v>1071.666666666667</v>
      </c>
      <c r="E15" t="n">
        <v>2.418666666666667</v>
      </c>
      <c r="F15" t="n">
        <v>1071.666666666667</v>
      </c>
    </row>
    <row r="16">
      <c r="A16" t="inlineStr">
        <is>
          <t>Cooling Water</t>
        </is>
      </c>
      <c r="B16" t="n">
        <v>20</v>
      </c>
      <c r="C16" t="n">
        <v>25</v>
      </c>
      <c r="D16" t="n">
        <v>27428.69444444445</v>
      </c>
      <c r="E16" t="n">
        <v>0.3629885946015451</v>
      </c>
      <c r="F16" t="n">
        <v>5485.738888888889</v>
      </c>
    </row>
    <row r="17">
      <c r="A17" t="inlineStr">
        <is>
          <t>Refrigerant 2</t>
        </is>
      </c>
      <c r="B17" t="n">
        <v>-40</v>
      </c>
      <c r="C17" t="n">
        <v>-39</v>
      </c>
      <c r="D17" t="n">
        <v>8.975</v>
      </c>
      <c r="E17" t="n">
        <v>0.2138888888888889</v>
      </c>
      <c r="F17" t="n">
        <v>8.975</v>
      </c>
    </row>
    <row r="18">
      <c r="A18" t="inlineStr">
        <is>
          <t>Fired Heat (1000)</t>
        </is>
      </c>
      <c r="B18" t="n">
        <v>1000</v>
      </c>
      <c r="C18" t="n">
        <v>400</v>
      </c>
      <c r="D18" t="n">
        <v>15474.97222222222</v>
      </c>
      <c r="E18" t="n">
        <v>0.0713469065071665</v>
      </c>
      <c r="F18" t="n">
        <v>25.79162037037037</v>
      </c>
    </row>
  </sheetData>
  <conditionalFormatting sqref="A2">
    <cfRule type="expression" priority="41" dxfId="0" stopIfTrue="1">
      <formula>IF(A2="",TRUE,FALSE)</formula>
    </cfRule>
  </conditionalFormatting>
  <conditionalFormatting sqref="B2:C14 B16:C19 E16:E19">
    <cfRule type="expression" priority="37" dxfId="1" stopIfTrue="1">
      <formula>IF(AND($A2="",B2=""),TRUE,FALSE)</formula>
    </cfRule>
    <cfRule type="expression" priority="38" dxfId="0" stopIfTrue="1">
      <formula>IF(B2="",TRUE,FALSE)</formula>
    </cfRule>
  </conditionalFormatting>
  <conditionalFormatting sqref="B15:C15">
    <cfRule type="expression" priority="33" dxfId="1" stopIfTrue="1">
      <formula>IF(AND(#REF!="",B15=""),TRUE,FALSE)</formula>
    </cfRule>
    <cfRule type="expression" priority="34" dxfId="0" stopIfTrue="1">
      <formula>IF(B15="",TRUE,FALSE)</formula>
    </cfRule>
  </conditionalFormatting>
  <conditionalFormatting sqref="B20:C20 E20:F20">
    <cfRule type="expression" priority="44" dxfId="1" stopIfTrue="1">
      <formula>IF(AND($A21="",B20=""),TRUE,FALSE)</formula>
    </cfRule>
    <cfRule type="expression" priority="45" dxfId="0" stopIfTrue="1">
      <formula>IF(B20="",TRUE,FALSE)</formula>
    </cfRule>
  </conditionalFormatting>
  <conditionalFormatting sqref="F2:F19">
    <cfRule type="expression" priority="1" dxfId="1" stopIfTrue="1">
      <formula>IF(AND($A2="",F2=""),TRUE,FALSE)</formula>
    </cfRule>
    <cfRule type="expression" priority="2" dxfId="0" stopIfTrue="1">
      <formula>IF(F2="",TRUE,FALSE)</formula>
    </cfRule>
  </conditionalFormatting>
  <dataValidations count="1">
    <dataValidation sqref="F2:F20" showDropDown="0" showInputMessage="0" showErrorMessage="1" allowBlank="0" errorTitle="Error" error="First select input data type and units from above." type="custom">
      <formula1>IF(OR($E$14="Select Units",$F$4="Select Input"),FALSE,TRUE)</formula1>
    </dataValidation>
  </dataValidations>
  <pageMargins left="0.7" right="0.7" top="0.75" bottom="0.75" header="0.3" footer="0.3"/>
  <pageSetup orientation="portrait" paperSize="9" horizontalDpi="1200" verticalDpi="12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.0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.0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2026-04-12T13:44:36Z</dcterms:modified>
</cp:coreProperties>
</file>